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hi\OneDrive\Documents\GitHub\P_321_BitRuisseau\Doc\"/>
    </mc:Choice>
  </mc:AlternateContent>
  <xr:revisionPtr revIDLastSave="0" documentId="13_ncr:1_{C41C2708-479B-4F16-AFB1-EE565F307EC7}" xr6:coauthVersionLast="47" xr6:coauthVersionMax="47" xr10:uidLastSave="{00000000-0000-0000-0000-000000000000}"/>
  <bookViews>
    <workbookView xWindow="-120" yWindow="-120" windowWidth="29040" windowHeight="1572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<sst xmlns="http://schemas.openxmlformats.org/spreadsheetml/2006/main" count="114" uniqueCount="64">
  <si>
    <t>Journal de travail</t>
  </si>
  <si>
    <t>Auteur:</t>
  </si>
  <si>
    <t>Projet:</t>
  </si>
  <si>
    <t>Temps total:</t>
  </si>
  <si>
    <t>Date: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</si>
  <si>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</si>
  <si>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</si>
  <si>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</si>
  <si>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</si>
  <si>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</si>
  <si>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</si>
  <si>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</si>
  <si>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</si>
  <si>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Documentation</t>
  </si>
  <si>
    <t>Analyse</t>
  </si>
  <si>
    <t>Implémentation</t>
  </si>
  <si>
    <t>Test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</si>
  <si>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</si>
  <si>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</si>
  <si>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</si>
  <si>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</si>
  <si>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</si>
  <si>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</si>
  <si>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</si>
  <si>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</si>
  <si>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</si>
  <si>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</si>
  <si>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</si>
  <si>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</si>
  <si>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Mise en place du projet</t>
  </si>
  <si>
    <t>Remplissage du journal de travail</t>
  </si>
  <si>
    <t>Explication du projet</t>
  </si>
  <si>
    <t>Création de user storie</t>
  </si>
  <si>
    <t>Création de la maquettes</t>
  </si>
  <si>
    <t>RDV</t>
  </si>
  <si>
    <t>Finalisation des user storie</t>
  </si>
  <si>
    <t>Finalisation de la maquette</t>
  </si>
  <si>
    <t>J'ai commencé à coder mon application en créant tout le design de l'application</t>
  </si>
  <si>
    <t>J'ai remplis mon journal de travail + je l'ai imprimé</t>
  </si>
  <si>
    <t>Bamert Mathieu</t>
  </si>
  <si>
    <t>P_Bit_Ruisseau</t>
  </si>
  <si>
    <t>Rajout de tout les fichiers.cs en commun dans mon code</t>
  </si>
  <si>
    <t>Rajout de l'extension TagLib depuis les packages NugGet</t>
  </si>
  <si>
    <t>Code de la classe Song avec le fichier Isong</t>
  </si>
  <si>
    <t>Code de la méthode Song dans le fichier Song. Avec le lien avec path.</t>
  </si>
  <si>
    <t>J'arrivais pas à rajouter des lignes à mon gridview et après j'ai appris que ça le faisait automatiquement</t>
  </si>
  <si>
    <t>Rajout de la méthode choix du fichier et faire qu'on puisse sélectionner un dossier</t>
  </si>
  <si>
    <t>Quand on a sélectionne un fichier on affiche les un message et le path du dossier</t>
  </si>
  <si>
    <t>Modification du nom dans le fichier Form1.designer.cs pour que quand on clique sur le bouton ça fais la méthode ChoixDossier</t>
  </si>
  <si>
    <t>Rajout d'un dossier avec des fichier mp3</t>
  </si>
  <si>
    <t>Création du fichier P2PProtocole pour simuler les communications réseau entre des "médiathèques"</t>
  </si>
  <si>
    <t>Code pour voir dans le datagridview les données</t>
  </si>
  <si>
    <t>Rmeplissage du jdt</t>
  </si>
  <si>
    <t>Simuler les communication entre les médiathèque</t>
  </si>
  <si>
    <t>Modification du design de l'application</t>
  </si>
  <si>
    <t>Suppression du fichier p2pp</t>
  </si>
  <si>
    <t>Rajout de la classe basicsong</t>
  </si>
  <si>
    <t>Changement du nom de fichier</t>
  </si>
  <si>
    <t>Création du protocole mqtt</t>
  </si>
  <si>
    <t>Modification du design</t>
  </si>
  <si>
    <t>Modification du code pour avoir que des méthodes courte</t>
  </si>
  <si>
    <t>Faire que les datagridview se remplis quand je choissis un dossier mp3</t>
  </si>
  <si>
    <t>Restructuration du code et refais une grande partie du code pour qu'on puissent me voir en ligne sur le brocker</t>
  </si>
  <si>
    <t>Améliorer tout le code pour qu'ils soit plus compréhensible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</si>
</sst>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2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0F6FC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90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0" fontId="17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 wrapText="1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0" fontId="20" fillId="0" borderId="0" xfId="1" applyFont="1" applyAlignment="1" applyProtection="1">
      <alignment vertical="center"/>
      <protection locked="0"/>
    </xf>
  </cellXfs>
  <cellStyles count="2">
    <cellStyle name="Lien hypertexte" xfId="1" builtinId="8"/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0</c:v>
                </c:pt>
                <c:pt idx="1">
                  <c:v>725</c:v>
                </c:pt>
                <c:pt idx="2">
                  <c:v>0</c:v>
                </c:pt>
                <c:pt idx="3">
                  <c:v>245</c:v>
                </c:pt>
                <c:pt idx="4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</c:v>
                </c:pt>
                <c:pt idx="1">
                  <c:v>0.65610859728506787</c:v>
                </c:pt>
                <c:pt idx="2">
                  <c:v>0</c:v>
                </c:pt>
                <c:pt idx="3">
                  <c:v>0.22171945701357465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22" activePane="bottomLeft" state="frozen"/>
      <selection pane="bottomLeft" activeCell="G45" sqref="G45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8" t="s">
        <v>1</v>
      </c>
      <c r="B2" s="88"/>
      <c r="C2" s="86" t="s">
        <v>39</v>
      </c>
      <c r="D2" s="86"/>
      <c r="E2" s="86"/>
      <c r="F2" s="5" t="s">
        <v>2</v>
      </c>
      <c r="G2" s="64" t="s">
        <v>40</v>
      </c>
    </row>
    <row r="3" spans="1:15" ht="23.25" x14ac:dyDescent="0.35">
      <c r="A3" s="88" t="s">
        <v>3</v>
      </c>
      <c r="B3" s="88"/>
      <c r="C3" s="67" t="str">
        <f>QUOTIENT(E4,60)&amp;" heures "&amp;MOD(E4,60)&amp;" minutes"</f>
        <v>18 heures 25 minutes</v>
      </c>
      <c r="D3" s="17"/>
      <c r="E3" s="3"/>
      <c r="F3" s="4" t="s">
        <v>4</v>
      </c>
      <c r="G3" s="65"/>
    </row>
    <row r="4" spans="1:15" ht="23.25" hidden="1" x14ac:dyDescent="0.35">
      <c r="B4" s="5"/>
      <c r="C4" s="17">
        <f>SUBTOTAL(9,$C$7:$C$531)*60</f>
        <v>300</v>
      </c>
      <c r="D4" s="17">
        <f>SUBTOTAL(9,$D$7:$D$531)</f>
        <v>805</v>
      </c>
      <c r="E4" s="24">
        <f>SUM(C4:D4)</f>
        <v>1105</v>
      </c>
      <c r="F4" s="4"/>
      <c r="G4" s="6"/>
    </row>
    <row r="5" spans="1:15" x14ac:dyDescent="0.25">
      <c r="C5" s="87" t="s">
        <v>5</v>
      </c>
      <c r="D5" s="87"/>
    </row>
    <row r="6" spans="1:15" s="15" customFormat="1" ht="20.100000000000001" customHeight="1" x14ac:dyDescent="0.3">
      <c r="A6" s="13" t="s">
        <v>6</v>
      </c>
      <c r="B6" s="21" t="s">
        <v>7</v>
      </c>
      <c r="C6" s="25" t="s">
        <v>8</v>
      </c>
      <c r="D6" s="16" t="s">
        <v>9</v>
      </c>
      <c r="E6" s="14" t="s">
        <v>10</v>
      </c>
      <c r="F6" s="14" t="s">
        <v>11</v>
      </c>
      <c r="G6" s="14" t="s">
        <v>12</v>
      </c>
    </row>
    <row r="7" spans="1:15" x14ac:dyDescent="0.25">
      <c r="A7" s="61">
        <f>IF(ISBLANK(B7),"",_xlfn.ISOWEEKNUM('Journal de travail'!$B7))</f>
        <v>45</v>
      </c>
      <c r="B7" s="26">
        <v>45968</v>
      </c>
      <c r="C7" s="27">
        <v>1</v>
      </c>
      <c r="D7" s="28">
        <v>0</v>
      </c>
      <c r="E7" s="29" t="s">
        <v>13</v>
      </c>
      <c r="F7" s="23" t="s">
        <v>31</v>
      </c>
      <c r="G7" s="38"/>
    </row>
    <row r="8" spans="1:15" x14ac:dyDescent="0.25">
      <c r="A8" s="62">
        <f>IF(ISBLANK(B8),"",_xlfn.ISOWEEKNUM('Journal de travail'!$B8))</f>
        <v>45</v>
      </c>
      <c r="B8" s="30">
        <v>45968</v>
      </c>
      <c r="C8" s="31"/>
      <c r="D8" s="32">
        <v>10</v>
      </c>
      <c r="E8" s="33" t="s">
        <v>13</v>
      </c>
      <c r="F8" s="23" t="s">
        <v>29</v>
      </c>
      <c r="G8" s="39"/>
      <c r="M8" t="s">
        <v>14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45</v>
      </c>
      <c r="B9" s="34">
        <v>45968</v>
      </c>
      <c r="C9" s="35">
        <v>1</v>
      </c>
      <c r="D9" s="36">
        <v>0</v>
      </c>
      <c r="E9" s="37" t="s">
        <v>13</v>
      </c>
      <c r="F9" s="23" t="s">
        <v>32</v>
      </c>
      <c r="G9" s="40"/>
      <c r="M9" t="s">
        <v>15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45</v>
      </c>
      <c r="B10" s="30">
        <v>45968</v>
      </c>
      <c r="C10" s="31"/>
      <c r="D10" s="32">
        <v>5</v>
      </c>
      <c r="E10" s="33" t="s">
        <v>13</v>
      </c>
      <c r="F10" s="23" t="s">
        <v>30</v>
      </c>
      <c r="G10" s="39"/>
      <c r="M10" t="s">
        <v>16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46</v>
      </c>
      <c r="B11" s="34">
        <v>45975</v>
      </c>
      <c r="C11" s="35"/>
      <c r="D11" s="36">
        <v>45</v>
      </c>
      <c r="E11" s="37" t="s">
        <v>17</v>
      </c>
      <c r="F11" s="23" t="s">
        <v>34</v>
      </c>
      <c r="G11" s="40"/>
      <c r="M11" t="s">
        <v>13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46</v>
      </c>
      <c r="B12" s="30">
        <v>45975</v>
      </c>
      <c r="C12" s="31"/>
      <c r="D12" s="32">
        <v>55</v>
      </c>
      <c r="E12" s="33" t="s">
        <v>13</v>
      </c>
      <c r="F12" s="23" t="s">
        <v>35</v>
      </c>
      <c r="G12" s="39"/>
      <c r="M12" t="s">
        <v>17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46</v>
      </c>
      <c r="B13" s="34">
        <v>45975</v>
      </c>
      <c r="C13" s="35"/>
      <c r="D13" s="36">
        <v>30</v>
      </c>
      <c r="E13" s="37" t="s">
        <v>15</v>
      </c>
      <c r="F13" s="23" t="s">
        <v>33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46</v>
      </c>
      <c r="B14" s="30">
        <v>45975</v>
      </c>
      <c r="C14" s="31"/>
      <c r="D14" s="32">
        <v>5</v>
      </c>
      <c r="E14" s="33" t="s">
        <v>13</v>
      </c>
      <c r="F14" s="23" t="s">
        <v>30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47</v>
      </c>
      <c r="B15" s="34">
        <v>45982</v>
      </c>
      <c r="C15" s="35"/>
      <c r="D15" s="36">
        <v>45</v>
      </c>
      <c r="E15" s="37" t="s">
        <v>15</v>
      </c>
      <c r="F15" s="23" t="s">
        <v>36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47</v>
      </c>
      <c r="B16" s="30">
        <v>45982</v>
      </c>
      <c r="C16" s="31">
        <v>1</v>
      </c>
      <c r="D16" s="32">
        <v>35</v>
      </c>
      <c r="E16" s="33" t="s">
        <v>15</v>
      </c>
      <c r="F16" s="23" t="s">
        <v>37</v>
      </c>
      <c r="G16" s="39"/>
      <c r="O16">
        <v>40</v>
      </c>
    </row>
    <row r="17" spans="1:15" x14ac:dyDescent="0.25">
      <c r="A17" s="63">
        <f>IF(ISBLANK(B17),"",_xlfn.ISOWEEKNUM('Journal de travail'!$B17))</f>
        <v>47</v>
      </c>
      <c r="B17" s="34">
        <v>45982</v>
      </c>
      <c r="C17" s="35"/>
      <c r="D17" s="36">
        <v>10</v>
      </c>
      <c r="E17" s="37" t="s">
        <v>13</v>
      </c>
      <c r="F17" s="23" t="s">
        <v>38</v>
      </c>
      <c r="G17" s="40"/>
      <c r="O17">
        <v>45</v>
      </c>
    </row>
    <row r="18" spans="1:15" x14ac:dyDescent="0.25">
      <c r="A18" s="62">
        <f>IF(ISBLANK(B18),"",_xlfn.ISOWEEKNUM('Journal de travail'!$B18))</f>
        <v>48</v>
      </c>
      <c r="B18" s="30">
        <v>45989</v>
      </c>
      <c r="C18" s="31"/>
      <c r="D18" s="32">
        <v>30</v>
      </c>
      <c r="E18" s="33" t="s">
        <v>15</v>
      </c>
      <c r="F18" s="23" t="s">
        <v>41</v>
      </c>
      <c r="G18" s="39"/>
      <c r="O18">
        <v>50</v>
      </c>
    </row>
    <row r="19" spans="1:15" x14ac:dyDescent="0.25">
      <c r="A19" s="63">
        <f>IF(ISBLANK(B19),"",_xlfn.ISOWEEKNUM('Journal de travail'!$B19))</f>
        <v>48</v>
      </c>
      <c r="B19" s="34">
        <v>45989</v>
      </c>
      <c r="C19" s="35"/>
      <c r="D19" s="36">
        <v>10</v>
      </c>
      <c r="E19" s="37" t="s">
        <v>15</v>
      </c>
      <c r="F19" s="23" t="s">
        <v>42</v>
      </c>
      <c r="G19" s="40"/>
      <c r="O19">
        <v>55</v>
      </c>
    </row>
    <row r="20" spans="1:15" x14ac:dyDescent="0.25">
      <c r="A20" s="62">
        <f>IF(ISBLANK(B20),"",_xlfn.ISOWEEKNUM('Journal de travail'!$B20))</f>
        <v>48</v>
      </c>
      <c r="B20" s="30">
        <v>45989</v>
      </c>
      <c r="C20" s="31"/>
      <c r="D20" s="32">
        <v>30</v>
      </c>
      <c r="E20" s="33" t="s">
        <v>15</v>
      </c>
      <c r="F20" s="23" t="s">
        <v>43</v>
      </c>
      <c r="G20" s="39"/>
    </row>
    <row r="21" spans="1:15" x14ac:dyDescent="0.25">
      <c r="A21" s="63">
        <f>IF(ISBLANK(B21),"",_xlfn.ISOWEEKNUM('Journal de travail'!$B21))</f>
        <v>48</v>
      </c>
      <c r="B21" s="34">
        <v>45989</v>
      </c>
      <c r="C21" s="35"/>
      <c r="D21" s="36">
        <v>30</v>
      </c>
      <c r="E21" s="37" t="s">
        <v>15</v>
      </c>
      <c r="F21" s="23" t="s">
        <v>44</v>
      </c>
      <c r="G21" s="40"/>
    </row>
    <row r="22" spans="1:15" ht="31.5" x14ac:dyDescent="0.25">
      <c r="A22" s="62">
        <f>IF(ISBLANK(B22),"",_xlfn.ISOWEEKNUM('Journal de travail'!$B22))</f>
        <v>48</v>
      </c>
      <c r="B22" s="30">
        <v>45989</v>
      </c>
      <c r="C22" s="31"/>
      <c r="D22" s="32">
        <v>25</v>
      </c>
      <c r="E22" s="33" t="s">
        <v>15</v>
      </c>
      <c r="F22" s="23" t="s">
        <v>45</v>
      </c>
      <c r="G22" s="39"/>
    </row>
    <row r="23" spans="1:15" x14ac:dyDescent="0.25">
      <c r="A23" s="63">
        <f>IF(ISBLANK(B23),"",_xlfn.ISOWEEKNUM('Journal de travail'!$B23))</f>
        <v>48</v>
      </c>
      <c r="B23" s="34">
        <v>45989</v>
      </c>
      <c r="C23" s="35"/>
      <c r="D23" s="36">
        <v>10</v>
      </c>
      <c r="E23" s="37" t="s">
        <v>13</v>
      </c>
      <c r="F23" s="23" t="s">
        <v>30</v>
      </c>
      <c r="G23" s="40"/>
    </row>
    <row r="24" spans="1:15" x14ac:dyDescent="0.25">
      <c r="A24" s="62">
        <f>IF(ISBLANK(B24),"",_xlfn.ISOWEEKNUM('Journal de travail'!$B24))</f>
        <v>49</v>
      </c>
      <c r="B24" s="30">
        <v>45996</v>
      </c>
      <c r="C24" s="31"/>
      <c r="D24" s="32">
        <v>30</v>
      </c>
      <c r="E24" s="33" t="s">
        <v>15</v>
      </c>
      <c r="F24" s="23" t="s">
        <v>46</v>
      </c>
      <c r="G24" s="39"/>
    </row>
    <row r="25" spans="1:15" x14ac:dyDescent="0.25">
      <c r="A25" s="63">
        <f>IF(ISBLANK(B25),"",_xlfn.ISOWEEKNUM('Journal de travail'!$B25))</f>
        <v>49</v>
      </c>
      <c r="B25" s="34">
        <v>45996</v>
      </c>
      <c r="C25" s="35"/>
      <c r="D25" s="36">
        <v>15</v>
      </c>
      <c r="E25" s="37" t="s">
        <v>15</v>
      </c>
      <c r="F25" s="23" t="s">
        <v>47</v>
      </c>
      <c r="G25" s="40"/>
    </row>
    <row r="26" spans="1:15" ht="31.5" x14ac:dyDescent="0.25">
      <c r="A26" s="62">
        <f>IF(ISBLANK(B26),"",_xlfn.ISOWEEKNUM('Journal de travail'!$B26))</f>
        <v>49</v>
      </c>
      <c r="B26" s="30">
        <v>45996</v>
      </c>
      <c r="C26" s="31"/>
      <c r="D26" s="32">
        <v>15</v>
      </c>
      <c r="E26" s="37" t="s">
        <v>15</v>
      </c>
      <c r="F26" s="23" t="s">
        <v>48</v>
      </c>
      <c r="G26" s="39"/>
    </row>
    <row r="27" spans="1:15" x14ac:dyDescent="0.25">
      <c r="A27" s="63">
        <f>IF(ISBLANK(B27),"",_xlfn.ISOWEEKNUM('Journal de travail'!$B27))</f>
        <v>49</v>
      </c>
      <c r="B27" s="34">
        <v>45996</v>
      </c>
      <c r="C27" s="35"/>
      <c r="D27" s="36">
        <v>30</v>
      </c>
      <c r="E27" s="33" t="s">
        <v>15</v>
      </c>
      <c r="F27" s="84" t="s">
        <v>51</v>
      </c>
      <c r="G27" s="40"/>
    </row>
    <row r="28" spans="1:15" x14ac:dyDescent="0.25">
      <c r="A28" s="62">
        <f>IF(ISBLANK(B28),"",_xlfn.ISOWEEKNUM('Journal de travail'!$B28))</f>
        <v>49</v>
      </c>
      <c r="B28" s="30">
        <v>45996</v>
      </c>
      <c r="C28" s="31"/>
      <c r="D28" s="32">
        <v>25</v>
      </c>
      <c r="E28" s="33" t="s">
        <v>15</v>
      </c>
      <c r="F28" s="22" t="s">
        <v>50</v>
      </c>
      <c r="G28" s="39"/>
    </row>
    <row r="29" spans="1:15" x14ac:dyDescent="0.25">
      <c r="A29" s="63">
        <f>IF(ISBLANK(B29),"",_xlfn.ISOWEEKNUM('Journal de travail'!$B29))</f>
        <v>49</v>
      </c>
      <c r="B29" s="34">
        <v>45996</v>
      </c>
      <c r="C29" s="35"/>
      <c r="D29" s="36">
        <v>10</v>
      </c>
      <c r="E29" s="37" t="s">
        <v>15</v>
      </c>
      <c r="F29" s="22" t="s">
        <v>49</v>
      </c>
      <c r="G29" s="40"/>
    </row>
    <row r="30" spans="1:15" x14ac:dyDescent="0.25">
      <c r="A30" s="62">
        <f>IF(ISBLANK(B30),"",_xlfn.ISOWEEKNUM('Journal de travail'!$B30))</f>
        <v>49</v>
      </c>
      <c r="B30" s="30">
        <v>45996</v>
      </c>
      <c r="C30" s="31"/>
      <c r="D30" s="32">
        <v>10</v>
      </c>
      <c r="E30" s="33" t="s">
        <v>13</v>
      </c>
      <c r="F30" s="23" t="s">
        <v>52</v>
      </c>
      <c r="G30" s="39"/>
    </row>
    <row r="31" spans="1:15" x14ac:dyDescent="0.25">
      <c r="A31" s="63">
        <f>IF(ISBLANK(B31),"",_xlfn.ISOWEEKNUM('Journal de travail'!$B31))</f>
        <v>50</v>
      </c>
      <c r="B31" s="34">
        <v>46003</v>
      </c>
      <c r="C31" s="35"/>
      <c r="D31" s="36">
        <v>30</v>
      </c>
      <c r="E31" s="37" t="s">
        <v>15</v>
      </c>
      <c r="F31" s="22" t="s">
        <v>53</v>
      </c>
      <c r="G31" s="40"/>
    </row>
    <row r="32" spans="1:15" x14ac:dyDescent="0.25">
      <c r="A32" s="62">
        <f>IF(ISBLANK(B32),"",_xlfn.ISOWEEKNUM('Journal de travail'!$B32))</f>
        <v>50</v>
      </c>
      <c r="B32" s="30">
        <v>46003</v>
      </c>
      <c r="C32" s="31"/>
      <c r="D32" s="32">
        <v>20</v>
      </c>
      <c r="E32" s="33" t="s">
        <v>15</v>
      </c>
      <c r="F32" s="85" t="s">
        <v>54</v>
      </c>
      <c r="G32" s="39"/>
    </row>
    <row r="33" spans="1:7" x14ac:dyDescent="0.25">
      <c r="A33" s="63">
        <f>IF(ISBLANK(B33),"",_xlfn.ISOWEEKNUM('Journal de travail'!$B33))</f>
        <v>50</v>
      </c>
      <c r="B33" s="34">
        <v>46003</v>
      </c>
      <c r="C33" s="35"/>
      <c r="D33" s="36">
        <v>5</v>
      </c>
      <c r="E33" s="37" t="s">
        <v>15</v>
      </c>
      <c r="F33" s="22" t="s">
        <v>55</v>
      </c>
      <c r="G33" s="40"/>
    </row>
    <row r="34" spans="1:7" x14ac:dyDescent="0.25">
      <c r="A34" s="62">
        <f>IF(ISBLANK(B34),"",_xlfn.ISOWEEKNUM('Journal de travail'!$B34))</f>
        <v>50</v>
      </c>
      <c r="B34" s="30">
        <v>46003</v>
      </c>
      <c r="C34" s="31"/>
      <c r="D34" s="32">
        <v>25</v>
      </c>
      <c r="E34" s="33" t="s">
        <v>15</v>
      </c>
      <c r="F34" s="22" t="s">
        <v>56</v>
      </c>
      <c r="G34" s="39"/>
    </row>
    <row r="35" spans="1:7" x14ac:dyDescent="0.25">
      <c r="A35" s="63">
        <f>IF(ISBLANK(B35),"",_xlfn.ISOWEEKNUM('Journal de travail'!$B35))</f>
        <v>50</v>
      </c>
      <c r="B35" s="34">
        <v>46003</v>
      </c>
      <c r="C35" s="35"/>
      <c r="D35" s="36">
        <v>15</v>
      </c>
      <c r="E35" s="37" t="s">
        <v>15</v>
      </c>
      <c r="F35" s="23" t="s">
        <v>57</v>
      </c>
      <c r="G35" s="40"/>
    </row>
    <row r="36" spans="1:7" x14ac:dyDescent="0.25">
      <c r="A36" s="62">
        <f>IF(ISBLANK(B36),"",_xlfn.ISOWEEKNUM('Journal de travail'!$B36))</f>
        <v>50</v>
      </c>
      <c r="B36" s="30">
        <v>46003</v>
      </c>
      <c r="C36" s="31"/>
      <c r="D36" s="32">
        <v>20</v>
      </c>
      <c r="E36" s="33" t="s">
        <v>15</v>
      </c>
      <c r="F36" s="22" t="s">
        <v>58</v>
      </c>
      <c r="G36" s="39"/>
    </row>
    <row r="37" spans="1:7" x14ac:dyDescent="0.25">
      <c r="A37" s="63">
        <f>IF(ISBLANK(B37),"",_xlfn.ISOWEEKNUM('Journal de travail'!$B37))</f>
        <v>50</v>
      </c>
      <c r="B37" s="34">
        <v>46003</v>
      </c>
      <c r="C37" s="35"/>
      <c r="D37" s="36">
        <v>15</v>
      </c>
      <c r="E37" s="37" t="s">
        <v>15</v>
      </c>
      <c r="F37" s="22" t="s">
        <v>59</v>
      </c>
      <c r="G37" s="40"/>
    </row>
    <row r="38" spans="1:7" x14ac:dyDescent="0.25">
      <c r="A38" s="62">
        <f>IF(ISBLANK(B38),"",_xlfn.ISOWEEKNUM('Journal de travail'!$B38))</f>
        <v>50</v>
      </c>
      <c r="B38" s="30">
        <v>46003</v>
      </c>
      <c r="C38" s="31"/>
      <c r="D38" s="32">
        <v>10</v>
      </c>
      <c r="E38" s="33" t="s">
        <v>15</v>
      </c>
      <c r="F38" s="89" t="s">
        <v>60</v>
      </c>
      <c r="G38" s="39"/>
    </row>
    <row r="39" spans="1:7" x14ac:dyDescent="0.25">
      <c r="A39" s="63">
        <f>IF(ISBLANK(B39),"",_xlfn.ISOWEEKNUM('Journal de travail'!$B39))</f>
        <v>50</v>
      </c>
      <c r="B39" s="34">
        <v>46003</v>
      </c>
      <c r="C39" s="35"/>
      <c r="D39" s="36">
        <v>5</v>
      </c>
      <c r="E39" s="37" t="s">
        <v>13</v>
      </c>
      <c r="F39" s="22" t="s">
        <v>30</v>
      </c>
      <c r="G39" s="40"/>
    </row>
    <row r="40" spans="1:7" x14ac:dyDescent="0.25">
      <c r="A40" s="62">
        <f>IF(ISBLANK(B40),"",_xlfn.ISOWEEKNUM('Journal de travail'!$B40))</f>
        <v>51</v>
      </c>
      <c r="B40" s="30">
        <v>46010</v>
      </c>
      <c r="C40" s="31">
        <v>1</v>
      </c>
      <c r="D40" s="32">
        <v>30</v>
      </c>
      <c r="E40" s="33" t="s">
        <v>17</v>
      </c>
      <c r="F40" s="22"/>
      <c r="G40" s="39"/>
    </row>
    <row r="41" spans="1:7" x14ac:dyDescent="0.25">
      <c r="A41" s="63">
        <f>IF(ISBLANK(B41),"",_xlfn.ISOWEEKNUM('Journal de travail'!$B41))</f>
        <v>51</v>
      </c>
      <c r="B41" s="34">
        <v>46010</v>
      </c>
      <c r="C41" s="35"/>
      <c r="D41" s="36">
        <v>40</v>
      </c>
      <c r="E41" s="37" t="s">
        <v>15</v>
      </c>
      <c r="F41" s="22" t="s">
        <v>61</v>
      </c>
      <c r="G41" s="40"/>
    </row>
    <row r="42" spans="1:7" x14ac:dyDescent="0.25">
      <c r="A42" s="62">
        <f>IF(ISBLANK(B42),"",_xlfn.ISOWEEKNUM('Journal de travail'!$B42))</f>
        <v>51</v>
      </c>
      <c r="B42" s="30">
        <v>46010</v>
      </c>
      <c r="C42" s="31"/>
      <c r="D42" s="32">
        <v>5</v>
      </c>
      <c r="E42" s="33" t="s">
        <v>13</v>
      </c>
      <c r="F42" s="22" t="s">
        <v>30</v>
      </c>
      <c r="G42" s="39"/>
    </row>
    <row r="43" spans="1:7" x14ac:dyDescent="0.25">
      <c r="A43" s="63">
        <f>IF(ISBLANK(B43),"",_xlfn.ISOWEEKNUM('Journal de travail'!$B43))</f>
        <v>2</v>
      </c>
      <c r="B43" s="34">
        <v>46031</v>
      </c>
      <c r="C43" s="35">
        <v>1</v>
      </c>
      <c r="D43" s="36">
        <v>35</v>
      </c>
      <c r="E43" s="37" t="s">
        <v>15</v>
      </c>
      <c r="F43" s="22" t="s">
        <v>62</v>
      </c>
      <c r="G43" s="40"/>
    </row>
    <row r="44" spans="1:7" x14ac:dyDescent="0.25">
      <c r="A44" s="62">
        <f>IF(ISBLANK(B44),"",_xlfn.ISOWEEKNUM('Journal de travail'!$B44))</f>
        <v>2</v>
      </c>
      <c r="B44" s="30">
        <v>46031</v>
      </c>
      <c r="C44" s="31"/>
      <c r="D44" s="32">
        <v>30</v>
      </c>
      <c r="E44" s="33" t="s">
        <v>15</v>
      </c>
      <c r="F44" s="22" t="s">
        <v>63</v>
      </c>
      <c r="G44" s="39"/>
    </row>
    <row r="45" spans="1:7" x14ac:dyDescent="0.25">
      <c r="A45" s="63">
        <f>IF(ISBLANK(B45),"",_xlfn.ISOWEEKNUM('Journal de travail'!$B45))</f>
        <v>2</v>
      </c>
      <c r="B45" s="34">
        <v>46031</v>
      </c>
      <c r="C45" s="35"/>
      <c r="D45" s="36">
        <v>10</v>
      </c>
      <c r="E45" s="37" t="s">
        <v>13</v>
      </c>
      <c r="F45" s="22" t="s">
        <v>30</v>
      </c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26 E28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28:E532 E7:E26" xr:uid="{EBCA439E-C5F1-BC4C-88EE-2BB045537E3E}">
      <formula1>$M$7:$M$12</formula1>
    </dataValidation>
  </dataValidations>
  <pageMargins left="0.7" right="0.7" top="0.75" bottom="0.75" header="0.3" footer="0.3"/>
  <pageSetup paperSize="9" scale="5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18</v>
      </c>
      <c r="F2" s="68">
        <v>90</v>
      </c>
      <c r="G2" s="66" t="s">
        <v>19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20</v>
      </c>
      <c r="L4" s="66" t="s">
        <v>21</v>
      </c>
      <c r="M4" s="41"/>
      <c r="N4" s="19"/>
    </row>
    <row r="5" spans="1:14" x14ac:dyDescent="0.3">
      <c r="A5" t="s">
        <v>22</v>
      </c>
      <c r="B5" t="s">
        <v>23</v>
      </c>
      <c r="C5" s="41" t="s">
        <v>24</v>
      </c>
      <c r="D5" s="42"/>
      <c r="E5" s="45" t="s">
        <v>25</v>
      </c>
      <c r="F5" s="46" t="s">
        <v>26</v>
      </c>
      <c r="G5" s="47" t="s">
        <v>27</v>
      </c>
      <c r="L5" s="48" t="s">
        <v>25</v>
      </c>
      <c r="M5" s="49" t="s">
        <v>26</v>
      </c>
      <c r="N5" s="50" t="s">
        <v>27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10" si="0">SUM(A6:B6)</f>
        <v>0</v>
      </c>
      <c r="E6" s="70" t="str">
        <f>'Journal de travail'!M8</f>
        <v>Analyse</v>
      </c>
      <c r="F6" s="71" t="str">
        <f>QUOTIENT(SUM(A6:B6),60)&amp;" h "&amp;TEXT(MOD(SUM(A6:B6),60), "00")&amp;" min"</f>
        <v>0 h 00 min</v>
      </c>
      <c r="G6" s="72">
        <f>SUM(A6:B6)/$C$11</f>
        <v>0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120</v>
      </c>
      <c r="B7">
        <f>SUMIF('Journal de travail'!$E$7:$E$532,Plannification!E7,'Journal de travail'!$D$7:$D$532)</f>
        <v>605</v>
      </c>
      <c r="C7">
        <f t="shared" si="0"/>
        <v>725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12 h 05 min</v>
      </c>
      <c r="G7" s="75">
        <f t="shared" ref="G7:G9" si="2">SUM(A7:B7)/$C$11</f>
        <v>0.65610859728506787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120</v>
      </c>
      <c r="B9">
        <f>SUMIF('Journal de travail'!$E$7:$E$532,Plannification!E9,'Journal de travail'!$D$7:$D$532)</f>
        <v>125</v>
      </c>
      <c r="C9">
        <f t="shared" si="0"/>
        <v>245</v>
      </c>
      <c r="E9" s="77" t="str">
        <f>'Journal de travail'!M11</f>
        <v>Documentation</v>
      </c>
      <c r="F9" s="74" t="str">
        <f t="shared" si="1"/>
        <v>4 h 05 min</v>
      </c>
      <c r="G9" s="75">
        <f t="shared" si="2"/>
        <v>0.22171945701357465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60</v>
      </c>
      <c r="B10">
        <f>SUMIF('Journal de travail'!$E$7:$E$532,Plannification!E10,'Journal de travail'!$D$7:$D$532)</f>
        <v>75</v>
      </c>
      <c r="C10">
        <f t="shared" si="0"/>
        <v>135</v>
      </c>
      <c r="E10" s="78" t="s">
        <v>17</v>
      </c>
      <c r="F10" s="79" t="str">
        <f t="shared" ref="F10" si="4">QUOTIENT(SUM(A10:B10),60)&amp;" h "&amp;TEXT(MOD(SUM(A10:B10),60), "00")&amp;" min"</f>
        <v>2 h 15 min</v>
      </c>
      <c r="G10" s="80">
        <f>SUM(A10:B10)/$C$11</f>
        <v>0.12217194570135746</v>
      </c>
      <c r="L10" s="69" t="s">
        <v>17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300</v>
      </c>
      <c r="B11">
        <f>SUM(B6:B10)</f>
        <v>805</v>
      </c>
      <c r="C11">
        <f>SUM(A11:B11)</f>
        <v>1105</v>
      </c>
      <c r="E11" s="81" t="s">
        <v>28</v>
      </c>
      <c r="F11" s="71" t="str">
        <f t="shared" si="1"/>
        <v>18 h 25 min</v>
      </c>
      <c r="G11" s="82">
        <f>C11/C12</f>
        <v>0.20462962962962963</v>
      </c>
      <c r="L11" s="56" t="s">
        <v>28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1" ma:contentTypeDescription="Crée un document." ma:contentTypeScope="" ma:versionID="e12e7c6bdfb75a7d9b849cfc56f051f3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dd34f7c8cce3bbcb7db5b2c1b48d4341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59f9882-dd1a-4e92-827c-8bd0e6dc3c4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B38329-2CCE-448E-AD8B-127B28816F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eefa3612-053e-497a-ae76-8a76877f5e22"/>
    <ds:schemaRef ds:uri="b5cf4370-ac38-4b9e-9836-ef6f5df64f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Mathieu Bamert</cp:lastModifiedBy>
  <cp:revision/>
  <cp:lastPrinted>2025-11-21T10:23:32Z</cp:lastPrinted>
  <dcterms:created xsi:type="dcterms:W3CDTF">2023-11-21T20:00:34Z</dcterms:created>
  <dcterms:modified xsi:type="dcterms:W3CDTF">2026-01-11T21:46:36Z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