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23aha\Documents\GitHub\P_321_BitRuisseau\Doc\"/>
    </mc:Choice>
  </mc:AlternateContent>
  <xr:revisionPtr revIDLastSave="0" documentId="13_ncr:1_{7FFADB53-3E03-4EEF-85AA-F8FFE6FDAB6D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<sst xmlns="http://schemas.openxmlformats.org/spreadsheetml/2006/main" count="84" uniqueCount="52">
  <si>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</si>
  <si>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</si>
  <si>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</si>
  <si>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</si>
  <si>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</si>
  <si>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</si>
  <si>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</si>
  <si>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</si>
  <si>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</si>
  <si>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</si>
  <si>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</si>
  <si>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</si>
  <si>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</si>
  <si>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</si>
  <si>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</si>
  <si>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</si>
  <si>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</si>
  <si>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</si>
  <si>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</si>
  <si>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</si>
  <si>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</si>
  <si>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</si>
  <si>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</si>
  <si>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</si>
  <si>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</si>
  <si>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</si>
  <si>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</si>
  <si>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</si>
  <si>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</si>
  <si>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Mise en place du projet</t>
  </si>
  <si>
    <t>Remplissage du journal de travail</t>
  </si>
  <si>
    <t>Explication du projet</t>
  </si>
  <si>
    <t>Création de user storie</t>
  </si>
  <si>
    <t>Création de la maquettes</t>
  </si>
  <si>
    <t>RDV</t>
  </si>
  <si>
    <t>Finalisation des user storie</t>
  </si>
  <si>
    <t>Finalisation de la maquette</t>
  </si>
  <si>
    <t>J'ai commencé à coder mon application en créant tout le design de l'application</t>
  </si>
  <si>
    <t>J'ai remplis mon journal de travail + je l'ai imprimé</t>
  </si>
  <si>
    <t>Bamert Mathieu</t>
  </si>
  <si>
    <t>P_Bit_Ruisseau</t>
  </si>
  <si>
    <t>Rajout de tout les fichiers.cs en commun dans mon code</t>
  </si>
  <si>
    <t>Rajout de l'extension TagLib depuis les packages NugGet</t>
  </si>
  <si>
    <t>Code de la classe Song avec le fichier Isong</t>
  </si>
  <si>
    <t>Code de la méthode Song dans le fichier Song. Avec le lien avec path.</t>
  </si>
  <si>
    <t>J'arrivais pas à rajouter des lignes à mon gridview et après j'ai appris que ça le faisait automatiquement</t>
  </si>
  <si>
    <t>Rajout de la méthode choix du fichier et faire qu'on puisse sélectionner un dossier</t>
  </si>
  <si>
    <t>Quand on a sélectionne un fichier on affiche les un message et le path du dossier</t>
  </si>
  <si>
    <t>Modification du nom dans le fichier Form1.designer.cs pour que quand on clique sur le bouton ça fais la méthode ChoixDossier</t>
  </si>
  <si>
    <t>Rajout d'un dossier avec des fichier mp3</t>
  </si>
  <si>
    <t>Création du fichier P2PProtocole pour simuler les communications réseau entre des "médiathèques"</t>
  </si>
  <si>
    <t>Code pour voir dans le datagridview les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</si>
</sst>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0" fontId="17" fillId="0" borderId="0" xfId="0" applyFont="1" applyAlignment="1" applyProtection="1">
      <alignment vertical="center" wrapText="1"/>
      <protection locked="0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420</c:v>
                </c:pt>
                <c:pt idx="2">
                  <c:v>0</c:v>
                </c:pt>
                <c:pt idx="3">
                  <c:v>225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0.60869565217391308</c:v>
                </c:pt>
                <c:pt idx="2">
                  <c:v>0</c:v>
                </c:pt>
                <c:pt idx="3">
                  <c:v>0.32608695652173914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B36" sqref="B3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39</v>
      </c>
      <c r="D2" s="84"/>
      <c r="E2" s="84"/>
      <c r="F2" s="5" t="s">
        <v>2</v>
      </c>
      <c r="G2" s="64" t="s">
        <v>40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11 heures 30 minutes</v>
      </c>
      <c r="D3" s="17"/>
      <c r="E3" s="3"/>
      <c r="F3" s="4" t="s">
        <v>4</v>
      </c>
      <c r="G3" s="65"/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510</v>
      </c>
      <c r="E4" s="24">
        <f>SUM(C4:D4)</f>
        <v>690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>
        <v>1</v>
      </c>
      <c r="D7" s="28">
        <v>0</v>
      </c>
      <c r="E7" s="29" t="s">
        <v>13</v>
      </c>
      <c r="F7" s="23" t="s">
        <v>31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10</v>
      </c>
      <c r="E8" s="33" t="s">
        <v>13</v>
      </c>
      <c r="F8" s="23" t="s">
        <v>29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>
        <v>1</v>
      </c>
      <c r="D9" s="36">
        <v>0</v>
      </c>
      <c r="E9" s="37" t="s">
        <v>13</v>
      </c>
      <c r="F9" s="23" t="s">
        <v>32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5</v>
      </c>
      <c r="E10" s="33" t="s">
        <v>13</v>
      </c>
      <c r="F10" s="23" t="s">
        <v>30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46</v>
      </c>
      <c r="B11" s="34">
        <v>45975</v>
      </c>
      <c r="C11" s="35"/>
      <c r="D11" s="36">
        <v>45</v>
      </c>
      <c r="E11" s="37" t="s">
        <v>17</v>
      </c>
      <c r="F11" s="23" t="s">
        <v>34</v>
      </c>
      <c r="G11" s="40"/>
      <c r="M11" t="s">
        <v>13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46</v>
      </c>
      <c r="B12" s="30">
        <v>45975</v>
      </c>
      <c r="C12" s="31"/>
      <c r="D12" s="32">
        <v>55</v>
      </c>
      <c r="E12" s="33" t="s">
        <v>13</v>
      </c>
      <c r="F12" s="23" t="s">
        <v>35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30</v>
      </c>
      <c r="E13" s="37" t="s">
        <v>15</v>
      </c>
      <c r="F13" s="23" t="s">
        <v>33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46</v>
      </c>
      <c r="B14" s="30">
        <v>45975</v>
      </c>
      <c r="C14" s="31"/>
      <c r="D14" s="32">
        <v>5</v>
      </c>
      <c r="E14" s="33" t="s">
        <v>13</v>
      </c>
      <c r="F14" s="23" t="s">
        <v>30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45982</v>
      </c>
      <c r="C15" s="35"/>
      <c r="D15" s="36">
        <v>45</v>
      </c>
      <c r="E15" s="37" t="s">
        <v>15</v>
      </c>
      <c r="F15" s="23" t="s">
        <v>36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47</v>
      </c>
      <c r="B16" s="30">
        <v>45982</v>
      </c>
      <c r="C16" s="31">
        <v>1</v>
      </c>
      <c r="D16" s="32">
        <v>35</v>
      </c>
      <c r="E16" s="33" t="s">
        <v>15</v>
      </c>
      <c r="F16" s="23" t="s">
        <v>37</v>
      </c>
      <c r="G16" s="39"/>
      <c r="O16">
        <v>40</v>
      </c>
    </row>
    <row r="17" spans="1:15" x14ac:dyDescent="0.25">
      <c r="A17" s="63">
        <f>IF(ISBLANK(B17),"",_xlfn.ISOWEEKNUM('Journal de travail'!$B17))</f>
        <v>47</v>
      </c>
      <c r="B17" s="34">
        <v>45982</v>
      </c>
      <c r="C17" s="35"/>
      <c r="D17" s="36">
        <v>10</v>
      </c>
      <c r="E17" s="37" t="s">
        <v>13</v>
      </c>
      <c r="F17" s="23" t="s">
        <v>38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45989</v>
      </c>
      <c r="C18" s="31"/>
      <c r="D18" s="32">
        <v>30</v>
      </c>
      <c r="E18" s="33" t="s">
        <v>15</v>
      </c>
      <c r="F18" s="23" t="s">
        <v>41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45989</v>
      </c>
      <c r="C19" s="35"/>
      <c r="D19" s="36">
        <v>10</v>
      </c>
      <c r="E19" s="37" t="s">
        <v>15</v>
      </c>
      <c r="F19" s="23" t="s">
        <v>42</v>
      </c>
      <c r="G19" s="40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45989</v>
      </c>
      <c r="C20" s="31"/>
      <c r="D20" s="32">
        <v>30</v>
      </c>
      <c r="E20" s="33" t="s">
        <v>15</v>
      </c>
      <c r="F20" s="23" t="s">
        <v>43</v>
      </c>
      <c r="G20" s="39"/>
    </row>
    <row r="21" spans="1:15" x14ac:dyDescent="0.25">
      <c r="A21" s="63">
        <f>IF(ISBLANK(B21),"",_xlfn.ISOWEEKNUM('Journal de travail'!$B21))</f>
        <v>48</v>
      </c>
      <c r="B21" s="34">
        <v>45989</v>
      </c>
      <c r="C21" s="35"/>
      <c r="D21" s="36">
        <v>30</v>
      </c>
      <c r="E21" s="37" t="s">
        <v>15</v>
      </c>
      <c r="F21" s="23" t="s">
        <v>44</v>
      </c>
      <c r="G21" s="40"/>
    </row>
    <row r="22" spans="1:15" ht="31.5" x14ac:dyDescent="0.25">
      <c r="A22" s="62">
        <f>IF(ISBLANK(B22),"",_xlfn.ISOWEEKNUM('Journal de travail'!$B22))</f>
        <v>48</v>
      </c>
      <c r="B22" s="30">
        <v>45989</v>
      </c>
      <c r="C22" s="31"/>
      <c r="D22" s="32">
        <v>25</v>
      </c>
      <c r="E22" s="33" t="s">
        <v>15</v>
      </c>
      <c r="F22" s="23" t="s">
        <v>45</v>
      </c>
      <c r="G22" s="39"/>
    </row>
    <row r="23" spans="1:15" x14ac:dyDescent="0.25">
      <c r="A23" s="63">
        <f>IF(ISBLANK(B23),"",_xlfn.ISOWEEKNUM('Journal de travail'!$B23))</f>
        <v>48</v>
      </c>
      <c r="B23" s="34">
        <v>45989</v>
      </c>
      <c r="C23" s="35"/>
      <c r="D23" s="36">
        <v>10</v>
      </c>
      <c r="E23" s="37" t="s">
        <v>13</v>
      </c>
      <c r="F23" s="23" t="s">
        <v>30</v>
      </c>
      <c r="G23" s="40"/>
    </row>
    <row r="24" spans="1:15" x14ac:dyDescent="0.25">
      <c r="A24" s="62">
        <f>IF(ISBLANK(B24),"",_xlfn.ISOWEEKNUM('Journal de travail'!$B24))</f>
        <v>49</v>
      </c>
      <c r="B24" s="30">
        <v>45996</v>
      </c>
      <c r="C24" s="31"/>
      <c r="D24" s="32">
        <v>30</v>
      </c>
      <c r="E24" s="33" t="s">
        <v>15</v>
      </c>
      <c r="F24" s="23" t="s">
        <v>46</v>
      </c>
      <c r="G24" s="39"/>
    </row>
    <row r="25" spans="1:15" x14ac:dyDescent="0.25">
      <c r="A25" s="63">
        <f>IF(ISBLANK(B25),"",_xlfn.ISOWEEKNUM('Journal de travail'!$B25))</f>
        <v>49</v>
      </c>
      <c r="B25" s="34">
        <v>45996</v>
      </c>
      <c r="C25" s="35"/>
      <c r="D25" s="36">
        <v>15</v>
      </c>
      <c r="E25" s="37" t="s">
        <v>15</v>
      </c>
      <c r="F25" s="23" t="s">
        <v>47</v>
      </c>
      <c r="G25" s="40"/>
    </row>
    <row r="26" spans="1:15" ht="31.5" x14ac:dyDescent="0.25">
      <c r="A26" s="62">
        <f>IF(ISBLANK(B26),"",_xlfn.ISOWEEKNUM('Journal de travail'!$B26))</f>
        <v>49</v>
      </c>
      <c r="B26" s="30">
        <v>45996</v>
      </c>
      <c r="C26" s="31"/>
      <c r="D26" s="32">
        <v>15</v>
      </c>
      <c r="E26" s="37" t="s">
        <v>15</v>
      </c>
      <c r="F26" s="23" t="s">
        <v>48</v>
      </c>
      <c r="G26" s="39"/>
    </row>
    <row r="27" spans="1:15" x14ac:dyDescent="0.25">
      <c r="A27" s="63">
        <f>IF(ISBLANK(B27),"",_xlfn.ISOWEEKNUM('Journal de travail'!$B27))</f>
        <v>49</v>
      </c>
      <c r="B27" s="34">
        <v>45996</v>
      </c>
      <c r="C27" s="35"/>
      <c r="D27" s="36">
        <v>30</v>
      </c>
      <c r="E27" s="33" t="s">
        <v>15</v>
      </c>
      <c r="F27" s="87" t="s">
        <v>51</v>
      </c>
      <c r="G27" s="40"/>
    </row>
    <row r="28" spans="1:15" x14ac:dyDescent="0.25">
      <c r="A28" s="62">
        <f>IF(ISBLANK(B28),"",_xlfn.ISOWEEKNUM('Journal de travail'!$B28))</f>
        <v>49</v>
      </c>
      <c r="B28" s="30">
        <v>45996</v>
      </c>
      <c r="C28" s="31"/>
      <c r="D28" s="32">
        <v>25</v>
      </c>
      <c r="E28" s="33" t="s">
        <v>15</v>
      </c>
      <c r="F28" s="22" t="s">
        <v>50</v>
      </c>
      <c r="G28" s="39"/>
    </row>
    <row r="29" spans="1:15" x14ac:dyDescent="0.25">
      <c r="A29" s="63">
        <f>IF(ISBLANK(B29),"",_xlfn.ISOWEEKNUM('Journal de travail'!$B29))</f>
        <v>49</v>
      </c>
      <c r="B29" s="34">
        <v>45996</v>
      </c>
      <c r="C29" s="35"/>
      <c r="D29" s="36">
        <v>10</v>
      </c>
      <c r="E29" s="37" t="s">
        <v>15</v>
      </c>
      <c r="F29" s="22" t="s">
        <v>49</v>
      </c>
      <c r="G29" s="40"/>
    </row>
    <row r="30" spans="1:15" x14ac:dyDescent="0.25">
      <c r="A30" s="62">
        <f>IF(ISBLANK(B30),"",_xlfn.ISOWEEKNUM('Journal de travail'!$B30))</f>
        <v>49</v>
      </c>
      <c r="B30" s="30">
        <v>45996</v>
      </c>
      <c r="C30" s="31"/>
      <c r="D30" s="32">
        <v>10</v>
      </c>
      <c r="E30" s="33" t="s">
        <v>13</v>
      </c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26 E2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28:E532 E7:E26" xr:uid="{EBCA439E-C5F1-BC4C-88EE-2BB045537E3E}">
      <formula1>$M$7:$M$12</formula1>
    </dataValidation>
  </dataValidations>
  <pageMargins left="0.7" right="0.7" top="0.75" bottom="0.75" header="0.3" footer="0.3"/>
  <pageSetup paperSize="9" scale="5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360</v>
      </c>
      <c r="C7">
        <f t="shared" si="0"/>
        <v>420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7 h 00 min</v>
      </c>
      <c r="G7" s="75">
        <f t="shared" ref="G7:G9" si="2">SUM(A7:B7)/$C$11</f>
        <v>0.60869565217391308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105</v>
      </c>
      <c r="C9">
        <f t="shared" si="0"/>
        <v>225</v>
      </c>
      <c r="E9" s="77" t="str">
        <f>'Journal de travail'!M11</f>
        <v>Documentation</v>
      </c>
      <c r="F9" s="74" t="str">
        <f t="shared" si="1"/>
        <v>3 h 45 min</v>
      </c>
      <c r="G9" s="75">
        <f t="shared" si="2"/>
        <v>0.32608695652173914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45</v>
      </c>
      <c r="C10">
        <f t="shared" si="0"/>
        <v>45</v>
      </c>
      <c r="E10" s="78" t="s">
        <v>17</v>
      </c>
      <c r="F10" s="79" t="str">
        <f t="shared" ref="F10" si="4">QUOTIENT(SUM(A10:B10),60)&amp;" h "&amp;TEXT(MOD(SUM(A10:B10),60), "00")&amp;" min"</f>
        <v>0 h 45 min</v>
      </c>
      <c r="G10" s="80">
        <f>SUM(A10:B10)/$C$11</f>
        <v>6.5217391304347824E-2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510</v>
      </c>
      <c r="C11">
        <f>SUM(A11:B11)</f>
        <v>690</v>
      </c>
      <c r="E11" s="81" t="s">
        <v>28</v>
      </c>
      <c r="F11" s="71" t="str">
        <f t="shared" si="1"/>
        <v>11 h 30 min</v>
      </c>
      <c r="G11" s="82">
        <f>C11/C12</f>
        <v>0.12777777777777777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1" ma:contentTypeDescription="Crée un document." ma:contentTypeScope="" ma:versionID="e12e7c6bdfb75a7d9b849cfc56f051f3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dd34f7c8cce3bbcb7db5b2c1b48d43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59f9882-dd1a-4e92-827c-8bd0e6dc3c4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38329-2CCE-448E-AD8B-127B28816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Mathieu Bamert</cp:lastModifiedBy>
  <cp:revision/>
  <cp:lastPrinted>2025-11-21T10:23:32Z</cp:lastPrinted>
  <dcterms:created xsi:type="dcterms:W3CDTF">2023-11-21T20:00:34Z</dcterms:created>
  <dcterms:modified xsi:type="dcterms:W3CDTF">2025-12-12T10:24:51Z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