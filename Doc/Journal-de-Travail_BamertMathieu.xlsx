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23aha\Documents\GitHub\P_321_BitRuisseau\Doc\"/>
    </mc:Choice>
  </mc:AlternateContent>
  <xr:revisionPtr revIDLastSave="0" documentId="13_ncr:1_{2BC26DA5-E637-42DB-A0F6-8F3C31CD13EF}" xr6:coauthVersionLast="47" xr6:coauthVersionMax="47" xr10:uidLastSave="{00000000-0000-0000-0000-000000000000}"/>
  <bookViews>
    <workbookView xWindow="1470" yWindow="147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<sst xmlns="http://schemas.openxmlformats.org/spreadsheetml/2006/main" count="52" uniqueCount="37">
  <si>
    <t>Journal de travail</t>
  </si>
  <si>
    <t>Auteur:</t>
  </si>
  <si>
    <t>Nom Prénom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</si>
  <si>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</si>
  <si>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</si>
  <si>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</si>
  <si>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</si>
  <si>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</si>
  <si>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</si>
  <si>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</si>
  <si>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</si>
  <si>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</si>
  <si>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</si>
  <si>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</si>
  <si>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</si>
  <si>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Analyse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</si>
  <si>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</si>
  <si>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</si>
  <si>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</si>
  <si>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</si>
  <si>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</si>
  <si>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</si>
  <si>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</si>
  <si>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</si>
  <si>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</si>
  <si>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</si>
  <si>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</si>
  <si>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</si>
  <si>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</si>
  <si>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</si>
  <si>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Mise en place du projet</t>
  </si>
  <si>
    <t>Remplissage du journal de travail</t>
  </si>
  <si>
    <t>Explication du projet</t>
  </si>
  <si>
    <t>Création de user storie</t>
  </si>
  <si>
    <t>Création de la maquettes</t>
  </si>
  <si>
    <t>RDV</t>
  </si>
  <si>
    <t>Finalisation des user storie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</si>
</sst>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rgb="FF000000"/>
      <name val="Calibri"/>
      <charset val="1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8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30</c:v>
                </c:pt>
                <c:pt idx="2">
                  <c:v>0</c:v>
                </c:pt>
                <c:pt idx="3">
                  <c:v>195</c:v>
                </c:pt>
                <c:pt idx="4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0.1111111111111111</c:v>
                </c:pt>
                <c:pt idx="2">
                  <c:v>0</c:v>
                </c:pt>
                <c:pt idx="3">
                  <c:v>0.72222222222222221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E1" zoomScaleNormal="100" workbookViewId="0">
      <pane ySplit="6" topLeftCell="A7" activePane="bottomLeft" state="frozen"/>
      <selection pane="bottomLeft" activeCell="F15" sqref="F15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7" t="s">
        <v>1</v>
      </c>
      <c r="B2" s="87"/>
      <c r="C2" s="85" t="s">
        <v>2</v>
      </c>
      <c r="D2" s="85"/>
      <c r="E2" s="85"/>
      <c r="F2" s="5" t="s">
        <v>3</v>
      </c>
      <c r="G2" s="64"/>
    </row>
    <row r="3" spans="1:15" ht="23.25" x14ac:dyDescent="0.35">
      <c r="A3" s="87" t="s">
        <v>4</v>
      </c>
      <c r="B3" s="87"/>
      <c r="C3" s="67" t="str">
        <f>QUOTIENT(E4,60)&amp;" heures "&amp;MOD(E4,60)&amp;" minutes"</f>
        <v>4 heures 30 minutes</v>
      </c>
      <c r="D3" s="17"/>
      <c r="E3" s="3"/>
      <c r="F3" s="4" t="s">
        <v>5</v>
      </c>
      <c r="G3" s="65"/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150</v>
      </c>
      <c r="E4" s="24">
        <f>SUM(C4:D4)</f>
        <v>270</v>
      </c>
      <c r="F4" s="4"/>
      <c r="G4" s="6"/>
    </row>
    <row r="5" spans="1:15" x14ac:dyDescent="0.25">
      <c r="C5" s="86" t="s">
        <v>6</v>
      </c>
      <c r="D5" s="86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>
        <v>1</v>
      </c>
      <c r="D7" s="28">
        <v>0</v>
      </c>
      <c r="E7" s="29" t="s">
        <v>14</v>
      </c>
      <c r="F7" s="23" t="s">
        <v>32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10</v>
      </c>
      <c r="E8" s="33" t="s">
        <v>14</v>
      </c>
      <c r="F8" s="23" t="s">
        <v>30</v>
      </c>
      <c r="G8" s="39"/>
      <c r="M8" t="s">
        <v>15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>
        <v>1</v>
      </c>
      <c r="D9" s="36">
        <v>0</v>
      </c>
      <c r="E9" s="37" t="s">
        <v>14</v>
      </c>
      <c r="F9" s="23" t="s">
        <v>33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5</v>
      </c>
      <c r="E10" s="33" t="s">
        <v>14</v>
      </c>
      <c r="F10" s="23" t="s">
        <v>31</v>
      </c>
      <c r="G10" s="39"/>
      <c r="M10" t="s">
        <v>17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46</v>
      </c>
      <c r="B11" s="34">
        <v>45975</v>
      </c>
      <c r="C11" s="35"/>
      <c r="D11" s="36">
        <v>45</v>
      </c>
      <c r="E11" s="37" t="s">
        <v>18</v>
      </c>
      <c r="F11" s="23" t="s">
        <v>35</v>
      </c>
      <c r="G11" s="40"/>
      <c r="M11" t="s">
        <v>14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46</v>
      </c>
      <c r="B12" s="30">
        <v>45975</v>
      </c>
      <c r="C12" s="31"/>
      <c r="D12" s="32">
        <v>55</v>
      </c>
      <c r="E12" s="33" t="s">
        <v>14</v>
      </c>
      <c r="F12" s="23" t="s">
        <v>36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30</v>
      </c>
      <c r="E13" s="37" t="s">
        <v>16</v>
      </c>
      <c r="F13" s="23" t="s">
        <v>34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46</v>
      </c>
      <c r="B14" s="30">
        <v>45975</v>
      </c>
      <c r="C14" s="31"/>
      <c r="D14" s="32">
        <v>5</v>
      </c>
      <c r="E14" s="33" t="s">
        <v>14</v>
      </c>
      <c r="F14" s="23" t="s">
        <v>31</v>
      </c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7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3"/>
      <c r="F27" s="84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26 E28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28:E532 E7:E26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30</v>
      </c>
      <c r="C7">
        <f t="shared" si="0"/>
        <v>30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30 min</v>
      </c>
      <c r="G7" s="75">
        <f t="shared" ref="G7:G9" si="2">SUM(A7:B7)/$C$11</f>
        <v>0.1111111111111111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120</v>
      </c>
      <c r="B9">
        <f>SUMIF('Journal de travail'!$E$7:$E$532,Plannification!E9,'Journal de travail'!$D$7:$D$532)</f>
        <v>75</v>
      </c>
      <c r="C9">
        <f t="shared" si="0"/>
        <v>195</v>
      </c>
      <c r="E9" s="77" t="str">
        <f>'Journal de travail'!M11</f>
        <v>Documentation</v>
      </c>
      <c r="F9" s="74" t="str">
        <f t="shared" si="1"/>
        <v>3 h 15 min</v>
      </c>
      <c r="G9" s="75">
        <f t="shared" si="2"/>
        <v>0.72222222222222221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45</v>
      </c>
      <c r="C10">
        <f t="shared" si="0"/>
        <v>45</v>
      </c>
      <c r="E10" s="78" t="s">
        <v>18</v>
      </c>
      <c r="F10" s="79" t="str">
        <f t="shared" ref="F10" si="4">QUOTIENT(SUM(A10:B10),60)&amp;" h "&amp;TEXT(MOD(SUM(A10:B10),60), "00")&amp;" min"</f>
        <v>0 h 45 min</v>
      </c>
      <c r="G10" s="80">
        <f>SUM(A10:B10)/$C$11</f>
        <v>0.16666666666666666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150</v>
      </c>
      <c r="C11">
        <f>SUM(A11:B11)</f>
        <v>270</v>
      </c>
      <c r="E11" s="81" t="s">
        <v>29</v>
      </c>
      <c r="F11" s="71" t="str">
        <f t="shared" si="1"/>
        <v>4 h 30 min</v>
      </c>
      <c r="G11" s="82">
        <f>C11/C12</f>
        <v>0.05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1" ma:contentTypeDescription="Crée un document." ma:contentTypeScope="" ma:versionID="e12e7c6bdfb75a7d9b849cfc56f051f3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dd34f7c8cce3bbcb7db5b2c1b48d434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59f9882-dd1a-4e92-827c-8bd0e6dc3c4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B38329-2CCE-448E-AD8B-127B28816F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Mathieu Bamert</cp:lastModifiedBy>
  <cp:revision/>
  <dcterms:created xsi:type="dcterms:W3CDTF">2023-11-21T20:00:34Z</dcterms:created>
  <dcterms:modified xsi:type="dcterms:W3CDTF">2025-11-14T10:22:59Z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